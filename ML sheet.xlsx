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<sst xmlns="http://schemas.openxmlformats.org/spreadsheetml/2006/main" count="15" uniqueCount="15">
  <si>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Year of Exp(X)</t>
  </si>
  <si>
    <t>Salary(Y)</t>
  </si>
  <si>
    <t>X- X_bar</t>
  </si>
  <si>
    <t>Y- Y_bar</t>
  </si>
  <si>
    <t>(X-X_BAR) * (Y-Y_BAR)</t>
  </si>
  <si>
    <t>Square (X-X_BAR)</t>
  </si>
  <si>
    <t>feature = 20 ( years of experience)</t>
  </si>
  <si>
    <t>(X_BAR)</t>
  </si>
  <si>
    <t>(Y_BAR)</t>
  </si>
  <si>
    <t>Coefficient =&gt;</t>
  </si>
  <si>
    <t>slope(B1)</t>
  </si>
  <si>
    <t xml:space="preserve">Coefficient =&gt; </t>
  </si>
  <si>
    <t>Intersect(B0)</t>
  </si>
  <si>
    <t>y(target) = intercept(b0) + slope(b1) *feature</t>
  </si>
  <si>
    <t>&lt;final salary of 20 years experienced)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</si>
</sst>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15</xdr:row>
      <xdr:rowOff>0</xdr:rowOff>
    </xdr:from>
    <xdr:ext cx="4876800" cy="2562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  <col customWidth="1" min="6" max="6" width="31.0"/>
    <col customWidth="1" min="9" max="9" width="5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2.0</v>
      </c>
      <c r="B2" s="3">
        <v>20000.0</v>
      </c>
      <c r="C2" s="3">
        <f t="shared" ref="C2:C11" si="1">A2 - $A$11</f>
        <v>-3.555555556</v>
      </c>
      <c r="D2" s="4">
        <f t="shared" ref="D2:D10" si="2">B2 - $B$11</f>
        <v>-25555.55556</v>
      </c>
      <c r="E2" s="4">
        <f t="shared" ref="E2:E10" si="3">C2*D2</f>
        <v>90864.19753</v>
      </c>
      <c r="F2" s="4">
        <f t="shared" ref="F2:F10" si="4">C2*C2</f>
        <v>12.64197531</v>
      </c>
    </row>
    <row r="3">
      <c r="A3" s="3">
        <v>3.0</v>
      </c>
      <c r="B3" s="3">
        <v>30000.0</v>
      </c>
      <c r="C3" s="3">
        <f t="shared" si="1"/>
        <v>-2.555555556</v>
      </c>
      <c r="D3" s="4">
        <f t="shared" si="2"/>
        <v>-15555.55556</v>
      </c>
      <c r="E3" s="4">
        <f t="shared" si="3"/>
        <v>39753.08642</v>
      </c>
      <c r="F3" s="4">
        <f t="shared" si="4"/>
        <v>6.530864198</v>
      </c>
    </row>
    <row r="4">
      <c r="A4" s="3">
        <v>1.0</v>
      </c>
      <c r="B4" s="3">
        <v>10000.0</v>
      </c>
      <c r="C4" s="3">
        <f t="shared" si="1"/>
        <v>-4.555555556</v>
      </c>
      <c r="D4" s="4">
        <f t="shared" si="2"/>
        <v>-35555.55556</v>
      </c>
      <c r="E4" s="4">
        <f t="shared" si="3"/>
        <v>161975.3086</v>
      </c>
      <c r="F4" s="4">
        <f t="shared" si="4"/>
        <v>20.75308642</v>
      </c>
    </row>
    <row r="5">
      <c r="A5" s="3">
        <v>5.0</v>
      </c>
      <c r="B5" s="3">
        <v>45000.0</v>
      </c>
      <c r="C5" s="3">
        <f t="shared" si="1"/>
        <v>-0.5555555556</v>
      </c>
      <c r="D5" s="4">
        <f t="shared" si="2"/>
        <v>-555.5555556</v>
      </c>
      <c r="E5" s="4">
        <f t="shared" si="3"/>
        <v>308.6419753</v>
      </c>
      <c r="F5" s="4">
        <f t="shared" si="4"/>
        <v>0.3086419753</v>
      </c>
    </row>
    <row r="6">
      <c r="A6" s="3">
        <v>7.0</v>
      </c>
      <c r="B6" s="3">
        <v>60000.0</v>
      </c>
      <c r="C6" s="3">
        <f t="shared" si="1"/>
        <v>1.444444444</v>
      </c>
      <c r="D6" s="4">
        <f t="shared" si="2"/>
        <v>14444.44444</v>
      </c>
      <c r="E6" s="4">
        <f t="shared" si="3"/>
        <v>20864.19753</v>
      </c>
      <c r="F6" s="4">
        <f t="shared" si="4"/>
        <v>2.086419753</v>
      </c>
    </row>
    <row r="7">
      <c r="A7" s="3">
        <v>4.0</v>
      </c>
      <c r="B7" s="3">
        <v>45000.0</v>
      </c>
      <c r="C7" s="3">
        <f t="shared" si="1"/>
        <v>-1.555555556</v>
      </c>
      <c r="D7" s="4">
        <f t="shared" si="2"/>
        <v>-555.5555556</v>
      </c>
      <c r="E7" s="4">
        <f t="shared" si="3"/>
        <v>864.1975309</v>
      </c>
      <c r="F7" s="4">
        <f t="shared" si="4"/>
        <v>2.419753086</v>
      </c>
    </row>
    <row r="8">
      <c r="A8" s="3">
        <v>10.0</v>
      </c>
      <c r="B8" s="3">
        <v>80000.0</v>
      </c>
      <c r="C8" s="3">
        <f t="shared" si="1"/>
        <v>4.444444444</v>
      </c>
      <c r="D8" s="4">
        <f t="shared" si="2"/>
        <v>34444.44444</v>
      </c>
      <c r="E8" s="4">
        <f t="shared" si="3"/>
        <v>153086.4198</v>
      </c>
      <c r="F8" s="4">
        <f t="shared" si="4"/>
        <v>19.75308642</v>
      </c>
    </row>
    <row r="9">
      <c r="A9" s="3">
        <v>15.0</v>
      </c>
      <c r="B9" s="3">
        <v>70000.0</v>
      </c>
      <c r="C9" s="3">
        <f t="shared" si="1"/>
        <v>9.444444444</v>
      </c>
      <c r="D9" s="4">
        <f t="shared" si="2"/>
        <v>24444.44444</v>
      </c>
      <c r="E9" s="4">
        <f t="shared" si="3"/>
        <v>230864.1975</v>
      </c>
      <c r="F9" s="4">
        <f t="shared" si="4"/>
        <v>89.19753086</v>
      </c>
      <c r="I9" s="3" t="s">
        <v>6</v>
      </c>
    </row>
    <row r="10">
      <c r="A10" s="3">
        <v>3.0</v>
      </c>
      <c r="B10" s="3">
        <v>50000.0</v>
      </c>
      <c r="C10" s="3">
        <f t="shared" si="1"/>
        <v>-2.555555556</v>
      </c>
      <c r="D10" s="4">
        <f t="shared" si="2"/>
        <v>4444.444444</v>
      </c>
      <c r="E10" s="4">
        <f t="shared" si="3"/>
        <v>-11358.02469</v>
      </c>
      <c r="F10" s="4">
        <f t="shared" si="4"/>
        <v>6.530864198</v>
      </c>
      <c r="I10" s="3">
        <v>20.0</v>
      </c>
    </row>
    <row r="11">
      <c r="A11" s="4">
        <f t="shared" ref="A11:B11" si="5">AVERAGE(A2:A10)</f>
        <v>5.555555556</v>
      </c>
      <c r="B11" s="4">
        <f t="shared" si="5"/>
        <v>45555.55556</v>
      </c>
      <c r="C11" s="3">
        <f t="shared" si="1"/>
        <v>0</v>
      </c>
      <c r="E11" s="4">
        <f t="shared" ref="E11:F11" si="6">SUM(E2:E10)</f>
        <v>687222.2222</v>
      </c>
      <c r="F11" s="4">
        <f t="shared" si="6"/>
        <v>160.2222222</v>
      </c>
    </row>
    <row r="12">
      <c r="A12" s="3" t="s">
        <v>7</v>
      </c>
      <c r="B12" s="3" t="s">
        <v>8</v>
      </c>
      <c r="F12" s="3" t="s">
        <v>9</v>
      </c>
      <c r="G12" s="3" t="s">
        <v>10</v>
      </c>
      <c r="H12" s="4">
        <f>E11/F11</f>
        <v>4289.181692</v>
      </c>
    </row>
    <row r="13">
      <c r="F13" s="3" t="s">
        <v>11</v>
      </c>
      <c r="G13" s="3" t="s">
        <v>12</v>
      </c>
      <c r="H13" s="4">
        <f>B11- H12 * A11</f>
        <v>21726.76838</v>
      </c>
    </row>
    <row r="14">
      <c r="I14" s="3" t="s">
        <v>13</v>
      </c>
    </row>
    <row r="15">
      <c r="I15" s="4">
        <f>H13 +H12 * I10</f>
        <v>107510.4022</v>
      </c>
      <c r="J15" s="3" t="s">
        <v>14</v>
      </c>
    </row>
  </sheetData>
  <drawing r:id="rId1"/>
</worksheet>
</file>